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ptions" sheetId="2" state="visible" r:id="rId2"/>
    <sheet name="Sensitivity" sheetId="3" state="visible" r:id="rId3"/>
    <sheet name="Pi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/>
    </xf>
    <xf numFmtId="9" fontId="1" fillId="2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70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At-risk customers targeted</t>
        </is>
      </c>
      <c r="B2" s="2" t="n">
        <v>736</v>
      </c>
      <c r="C2" s="2" t="inlineStr">
        <is>
          <t>customers</t>
        </is>
      </c>
      <c r="D2" s="2" t="inlineStr">
        <is>
          <t>Measured: RFM segment on 2011-12-01</t>
        </is>
      </c>
    </row>
    <row r="3">
      <c r="A3" s="2" t="inlineStr">
        <is>
          <t>Return rate without programme (90 days)</t>
        </is>
      </c>
      <c r="B3" s="3" t="n">
        <v>0.2724</v>
      </c>
      <c r="C3" s="2" t="inlineStr">
        <is>
          <t>share</t>
        </is>
      </c>
      <c r="D3" s="2" t="inlineStr">
        <is>
          <t>Measured: same-season snapshot 2010-12-01</t>
        </is>
      </c>
    </row>
    <row r="4">
      <c r="A4" s="2" t="inlineStr">
        <is>
          <t>Revenue per returning customer (90 days)</t>
        </is>
      </c>
      <c r="B4" s="4" t="n">
        <v>562.42</v>
      </c>
      <c r="C4" s="2" t="inlineStr">
        <is>
          <t>GBP</t>
        </is>
      </c>
      <c r="D4" s="2" t="inlineStr">
        <is>
          <t>Measured: same snapshot</t>
        </is>
      </c>
    </row>
    <row r="5">
      <c r="A5" s="2" t="inlineStr">
        <is>
          <t>Top-value customers to call</t>
        </is>
      </c>
      <c r="B5" s="2" t="n">
        <v>147</v>
      </c>
      <c r="C5" s="2" t="inlineStr">
        <is>
          <t>customers</t>
        </is>
      </c>
      <c r="D5" s="2" t="inlineStr">
        <is>
          <t>Measured: top 20 % by prior spend</t>
        </is>
      </c>
    </row>
    <row r="6">
      <c r="A6" s="2" t="inlineStr">
        <is>
          <t>Gross margin</t>
        </is>
      </c>
      <c r="B6" s="5" t="n">
        <v>0.4</v>
      </c>
      <c r="C6" s="2" t="inlineStr">
        <is>
          <t>share</t>
        </is>
      </c>
      <c r="D6" s="6" t="inlineStr">
        <is>
          <t>ASSUMPTION: Not in the data. Typical of a gift wholesaler; tested from 25 % to 50 %.</t>
        </is>
      </c>
    </row>
    <row r="7">
      <c r="A7" s="2" t="inlineStr">
        <is>
          <t>Discount, option B</t>
        </is>
      </c>
      <c r="B7" s="5" t="n">
        <v>0.1</v>
      </c>
      <c r="C7" s="2" t="inlineStr">
        <is>
          <t>share</t>
        </is>
      </c>
      <c r="D7" s="2" t="inlineStr">
        <is>
          <t>ASSUMPTION: Option B design choice.</t>
        </is>
      </c>
    </row>
    <row r="8">
      <c r="A8" s="2" t="inlineStr">
        <is>
          <t>Set-up effort</t>
        </is>
      </c>
      <c r="B8" s="7" t="n">
        <v>3</v>
      </c>
      <c r="C8" s="2" t="inlineStr">
        <is>
          <t>days</t>
        </is>
      </c>
      <c r="D8" s="6" t="inlineStr">
        <is>
          <t>ASSUMPTION: Segment refresh, email build, tracking: 3 analyst days.</t>
        </is>
      </c>
    </row>
    <row r="9">
      <c r="A9" s="2" t="inlineStr">
        <is>
          <t>Analyst day rate</t>
        </is>
      </c>
      <c r="B9" s="7" t="n">
        <v>250</v>
      </c>
      <c r="C9" s="2" t="inlineStr">
        <is>
          <t>GBP/day</t>
        </is>
      </c>
      <c r="D9" s="2" t="inlineStr">
        <is>
          <t>ASSUMPTION: Loaded cost of an analyst day; assumption.</t>
        </is>
      </c>
    </row>
    <row r="10">
      <c r="A10" s="2" t="inlineStr">
        <is>
          <t>Minutes per call</t>
        </is>
      </c>
      <c r="B10" s="7" t="n">
        <v>20</v>
      </c>
      <c r="C10" s="2" t="inlineStr">
        <is>
          <t>minutes</t>
        </is>
      </c>
      <c r="D10" s="6" t="inlineStr">
        <is>
          <t>ASSUMPTION: Per call to a top-value customer, including notes.</t>
        </is>
      </c>
    </row>
    <row r="11">
      <c r="A11" s="2" t="inlineStr">
        <is>
          <t>Account manager hourly cost</t>
        </is>
      </c>
      <c r="B11" s="7" t="n">
        <v>30</v>
      </c>
      <c r="C11" s="2" t="inlineStr">
        <is>
          <t>GBP/hour</t>
        </is>
      </c>
      <c r="D11" s="6" t="inlineStr">
        <is>
          <t>ASSUMPTION: Loaded cost of an account manager hour; assumption.</t>
        </is>
      </c>
    </row>
    <row r="12">
      <c r="A12" s="2" t="n"/>
      <c r="B12" s="2" t="n"/>
      <c r="C12" s="2" t="n"/>
      <c r="D12" s="2" t="n"/>
    </row>
    <row r="13">
      <c r="A13" s="6" t="inlineStr">
        <is>
          <t>Yellow cells are assumptions: change them and every sheet recalculates.</t>
        </is>
      </c>
      <c r="B13" s="2" t="n"/>
      <c r="C13" s="2" t="n"/>
      <c r="D1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0" customWidth="1" min="3" max="3"/>
    <col width="20" customWidth="1" min="4" max="4"/>
  </cols>
  <sheetData>
    <row r="1">
      <c r="A1" s="1" t="inlineStr"/>
      <c r="B1" s="1" t="inlineStr">
        <is>
          <t>A. Do nothing</t>
        </is>
      </c>
      <c r="C1" s="1" t="inlineStr">
        <is>
          <t>B. Email + discount</t>
        </is>
      </c>
      <c r="D1" s="1" t="inlineStr">
        <is>
          <t>C. Reminder + calls</t>
        </is>
      </c>
    </row>
    <row r="2">
      <c r="A2" s="2" t="inlineStr">
        <is>
          <t>Fixed cost (GBP)</t>
        </is>
      </c>
      <c r="B2" s="8" t="n">
        <v>0</v>
      </c>
      <c r="C2" s="8">
        <f>Inputs!$B$8*Inputs!$B$9</f>
        <v/>
      </c>
      <c r="D2" s="9">
        <f>Inputs!$B$8*Inputs!$B$9+Inputs!$B$5*Inputs!$B$10/60*Inputs!$B$11</f>
        <v/>
      </c>
    </row>
    <row r="3">
      <c r="A3" s="2" t="inlineStr">
        <is>
          <t>Break-even return rate</t>
        </is>
      </c>
      <c r="B3" s="3">
        <f>Inputs!$B$3</f>
        <v/>
      </c>
      <c r="C3" s="10">
        <f>(Inputs!$B$3*Inputs!$B$6+C2/(Inputs!$B$2*Inputs!$B$4))/(Inputs!$B$6-Inputs!$B$7)</f>
        <v/>
      </c>
      <c r="D3" s="3">
        <f>Inputs!$B$3+D2/(Inputs!$B$2*Inputs!$B$4*Inputs!$B$6)</f>
        <v/>
      </c>
    </row>
    <row r="4">
      <c r="A4" s="2" t="inlineStr">
        <is>
          <t>Uplift needed to break even (points)</t>
        </is>
      </c>
      <c r="B4" s="11" t="n">
        <v>0</v>
      </c>
      <c r="C4" s="11">
        <f>(C3-Inputs!$B$3)*100</f>
        <v/>
      </c>
      <c r="D4" s="11">
        <f>(D3-Inputs!$B$3)*100</f>
        <v/>
      </c>
    </row>
    <row r="5">
      <c r="A5" s="2" t="n"/>
      <c r="B5" s="2" t="n"/>
      <c r="C5" s="2" t="n"/>
      <c r="D5" s="2" t="n"/>
    </row>
    <row r="6">
      <c r="A6" s="2" t="inlineStr">
        <is>
          <t>Scenario: assumed uplift (points)</t>
        </is>
      </c>
      <c r="B6" s="7" t="n">
        <v>3</v>
      </c>
      <c r="C6" s="2" t="n"/>
      <c r="D6" s="2" t="n"/>
    </row>
    <row r="7">
      <c r="A7" s="2" t="inlineStr">
        <is>
          <t>Return rate in scenario</t>
        </is>
      </c>
      <c r="B7" s="3">
        <f>Inputs!$B$3</f>
        <v/>
      </c>
      <c r="C7" s="3">
        <f>Inputs!$B$3+$B$6/100</f>
        <v/>
      </c>
      <c r="D7" s="3">
        <f>Inputs!$B$3+$B$6/100</f>
        <v/>
      </c>
    </row>
    <row r="8">
      <c r="A8" s="2" t="inlineStr">
        <is>
          <t>Gross profit in scenario (GBP)</t>
        </is>
      </c>
      <c r="B8" s="8">
        <f>Inputs!$B$2*B7*Inputs!$B$4*Inputs!$B$6</f>
        <v/>
      </c>
      <c r="C8" s="8">
        <f>Inputs!$B$2*C7*Inputs!$B$4*(Inputs!$B$6-Inputs!$B$7)-C2</f>
        <v/>
      </c>
      <c r="D8" s="8">
        <f>Inputs!$B$2*D7*Inputs!$B$4*Inputs!$B$6-D2</f>
        <v/>
      </c>
    </row>
    <row r="9">
      <c r="A9" s="2" t="inlineStr">
        <is>
          <t>Gain vs doing nothing (GBP)</t>
        </is>
      </c>
      <c r="B9" s="8" t="n">
        <v>0</v>
      </c>
      <c r="C9" s="8">
        <f>C8-$B$8</f>
        <v/>
      </c>
      <c r="D9" s="8">
        <f>D8-$B$8</f>
        <v/>
      </c>
    </row>
    <row r="10">
      <c r="A10" s="2" t="n"/>
      <c r="B10" s="2" t="n"/>
      <c r="C10" s="2" t="n"/>
      <c r="D10" s="2" t="n"/>
    </row>
    <row r="11">
      <c r="A11" s="2" t="inlineStr">
        <is>
          <t>Option C: gain per extra point of return rate (GBP)</t>
        </is>
      </c>
      <c r="B11" s="8">
        <f>Inputs!$B$2*0.01*Inputs!$B$4*Inputs!$B$6</f>
        <v/>
      </c>
      <c r="C11" s="2" t="n"/>
      <c r="D11" s="2" t="n"/>
    </row>
    <row r="12">
      <c r="A12" s="2" t="inlineStr">
        <is>
          <t>Option C: worst case, no uplift at all (GBP)</t>
        </is>
      </c>
      <c r="B12" s="8">
        <f>-D2</f>
        <v/>
      </c>
      <c r="C12" s="2" t="n"/>
      <c r="D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2" t="inlineStr">
        <is>
          <t>Option B: uplift needed to break even (points)</t>
        </is>
      </c>
      <c r="B1" s="2" t="inlineStr"/>
      <c r="C1" s="2" t="inlineStr"/>
      <c r="D1" s="2" t="inlineStr"/>
      <c r="E1" s="2" t="inlineStr"/>
      <c r="F1" s="2" t="inlineStr"/>
      <c r="G1" s="2" t="inlineStr"/>
    </row>
    <row r="2">
      <c r="A2" s="1" t="inlineStr">
        <is>
          <t>Discount \ gross margin</t>
        </is>
      </c>
      <c r="B2" s="12" t="n">
        <v>0.25</v>
      </c>
      <c r="C2" s="12" t="n">
        <v>0.3</v>
      </c>
      <c r="D2" s="12" t="n">
        <v>0.35</v>
      </c>
      <c r="E2" s="12" t="n">
        <v>0.4</v>
      </c>
      <c r="F2" s="12" t="n">
        <v>0.45</v>
      </c>
      <c r="G2" s="12" t="n">
        <v>0.5</v>
      </c>
    </row>
    <row r="3">
      <c r="A3" s="13" t="n">
        <v>0.05</v>
      </c>
      <c r="B3" s="14">
        <f>IF(B$2&lt;=$A3,"never",(((Inputs!$B$3)*B$2+Options!$C$2/(Inputs!$B$2*Inputs!$B$4))/(B$2-$A3)-Inputs!$B$3)*100)</f>
        <v/>
      </c>
      <c r="C3" s="14">
        <f>IF(C$2&lt;=$A3,"never",(((Inputs!$B$3)*C$2+Options!$C$2/(Inputs!$B$2*Inputs!$B$4))/(C$2-$A3)-Inputs!$B$3)*100)</f>
        <v/>
      </c>
      <c r="D3" s="14">
        <f>IF(D$2&lt;=$A3,"never",(((Inputs!$B$3)*D$2+Options!$C$2/(Inputs!$B$2*Inputs!$B$4))/(D$2-$A3)-Inputs!$B$3)*100)</f>
        <v/>
      </c>
      <c r="E3" s="14">
        <f>IF(E$2&lt;=$A3,"never",(((Inputs!$B$3)*E$2+Options!$C$2/(Inputs!$B$2*Inputs!$B$4))/(E$2-$A3)-Inputs!$B$3)*100)</f>
        <v/>
      </c>
      <c r="F3" s="14">
        <f>IF(F$2&lt;=$A3,"never",(((Inputs!$B$3)*F$2+Options!$C$2/(Inputs!$B$2*Inputs!$B$4))/(F$2-$A3)-Inputs!$B$3)*100)</f>
        <v/>
      </c>
      <c r="G3" s="14">
        <f>IF(G$2&lt;=$A3,"never",(((Inputs!$B$3)*G$2+Options!$C$2/(Inputs!$B$2*Inputs!$B$4))/(G$2-$A3)-Inputs!$B$3)*100)</f>
        <v/>
      </c>
    </row>
    <row r="4">
      <c r="A4" s="13" t="n">
        <v>0.1</v>
      </c>
      <c r="B4" s="14">
        <f>IF(B$2&lt;=$A4,"never",(((Inputs!$B$3)*B$2+Options!$C$2/(Inputs!$B$2*Inputs!$B$4))/(B$2-$A4)-Inputs!$B$3)*100)</f>
        <v/>
      </c>
      <c r="C4" s="14">
        <f>IF(C$2&lt;=$A4,"never",(((Inputs!$B$3)*C$2+Options!$C$2/(Inputs!$B$2*Inputs!$B$4))/(C$2-$A4)-Inputs!$B$3)*100)</f>
        <v/>
      </c>
      <c r="D4" s="14">
        <f>IF(D$2&lt;=$A4,"never",(((Inputs!$B$3)*D$2+Options!$C$2/(Inputs!$B$2*Inputs!$B$4))/(D$2-$A4)-Inputs!$B$3)*100)</f>
        <v/>
      </c>
      <c r="E4" s="14">
        <f>IF(E$2&lt;=$A4,"never",(((Inputs!$B$3)*E$2+Options!$C$2/(Inputs!$B$2*Inputs!$B$4))/(E$2-$A4)-Inputs!$B$3)*100)</f>
        <v/>
      </c>
      <c r="F4" s="14">
        <f>IF(F$2&lt;=$A4,"never",(((Inputs!$B$3)*F$2+Options!$C$2/(Inputs!$B$2*Inputs!$B$4))/(F$2-$A4)-Inputs!$B$3)*100)</f>
        <v/>
      </c>
      <c r="G4" s="14">
        <f>IF(G$2&lt;=$A4,"never",(((Inputs!$B$3)*G$2+Options!$C$2/(Inputs!$B$2*Inputs!$B$4))/(G$2-$A4)-Inputs!$B$3)*100)</f>
        <v/>
      </c>
    </row>
    <row r="5">
      <c r="A5" s="13" t="n">
        <v>0.15</v>
      </c>
      <c r="B5" s="14">
        <f>IF(B$2&lt;=$A5,"never",(((Inputs!$B$3)*B$2+Options!$C$2/(Inputs!$B$2*Inputs!$B$4))/(B$2-$A5)-Inputs!$B$3)*100)</f>
        <v/>
      </c>
      <c r="C5" s="14">
        <f>IF(C$2&lt;=$A5,"never",(((Inputs!$B$3)*C$2+Options!$C$2/(Inputs!$B$2*Inputs!$B$4))/(C$2-$A5)-Inputs!$B$3)*100)</f>
        <v/>
      </c>
      <c r="D5" s="14">
        <f>IF(D$2&lt;=$A5,"never",(((Inputs!$B$3)*D$2+Options!$C$2/(Inputs!$B$2*Inputs!$B$4))/(D$2-$A5)-Inputs!$B$3)*100)</f>
        <v/>
      </c>
      <c r="E5" s="14">
        <f>IF(E$2&lt;=$A5,"never",(((Inputs!$B$3)*E$2+Options!$C$2/(Inputs!$B$2*Inputs!$B$4))/(E$2-$A5)-Inputs!$B$3)*100)</f>
        <v/>
      </c>
      <c r="F5" s="14">
        <f>IF(F$2&lt;=$A5,"never",(((Inputs!$B$3)*F$2+Options!$C$2/(Inputs!$B$2*Inputs!$B$4))/(F$2-$A5)-Inputs!$B$3)*100)</f>
        <v/>
      </c>
      <c r="G5" s="14">
        <f>IF(G$2&lt;=$A5,"never",(((Inputs!$B$3)*G$2+Options!$C$2/(Inputs!$B$2*Inputs!$B$4))/(G$2-$A5)-Inputs!$B$3)*100)</f>
        <v/>
      </c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Option C: uplift needed to break even (points)</t>
        </is>
      </c>
      <c r="B7" s="15">
        <f>Options!$D$2/(Inputs!$B$2*Inputs!$B$4*0.25)*100</f>
        <v/>
      </c>
      <c r="C7" s="15">
        <f>Options!$D$2/(Inputs!$B$2*Inputs!$B$4*0.3)*100</f>
        <v/>
      </c>
      <c r="D7" s="15">
        <f>Options!$D$2/(Inputs!$B$2*Inputs!$B$4*0.35)*100</f>
        <v/>
      </c>
      <c r="E7" s="15">
        <f>Options!$D$2/(Inputs!$B$2*Inputs!$B$4*0.4)*100</f>
        <v/>
      </c>
      <c r="F7" s="15">
        <f>Options!$D$2/(Inputs!$B$2*Inputs!$B$4*0.45)*100</f>
        <v/>
      </c>
      <c r="G7" s="15">
        <f>Options!$D$2/(Inputs!$B$2*Inputs!$B$4*0.5)*100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48" customWidth="1" min="3" max="3"/>
  </cols>
  <sheetData>
    <row r="1">
      <c r="A1" s="1" t="inlineStr">
        <is>
          <t>Pilot design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Customers per group (half the segment)</t>
        </is>
      </c>
      <c r="B2" s="2">
        <f>INT(Inputs!$B$2/2)</f>
        <v/>
      </c>
      <c r="C2" s="2" t="inlineStr"/>
    </row>
    <row r="3">
      <c r="A3" s="2" t="inlineStr">
        <is>
          <t>Significance level (two-sided)</t>
        </is>
      </c>
      <c r="B3" s="13" t="n">
        <v>0.05</v>
      </c>
      <c r="C3" s="2" t="inlineStr"/>
    </row>
    <row r="4">
      <c r="A4" s="2" t="inlineStr">
        <is>
          <t>Power</t>
        </is>
      </c>
      <c r="B4" s="13" t="n">
        <v>0.8</v>
      </c>
      <c r="C4" s="2" t="inlineStr"/>
    </row>
    <row r="5">
      <c r="A5" s="2" t="inlineStr">
        <is>
          <t>Smallest uplift detectable (points)</t>
        </is>
      </c>
      <c r="B5" s="14">
        <f>(NORM.S.INV(1-B3/2)+NORM.S.INV(B4))*SQRT(2*Inputs!$B$3*(1-Inputs!$B$3)/B2)*100</f>
        <v/>
      </c>
      <c r="C5" s="2" t="inlineStr">
        <is>
          <t>Normal approximation; model.py solves it exactly</t>
        </is>
      </c>
    </row>
    <row r="6">
      <c r="A6" s="2" t="inlineStr">
        <is>
          <t>Customers per group to detect option C's break-even</t>
        </is>
      </c>
      <c r="B6" s="9">
        <f>ROUNDUP((NORM.S.INV(1-B3/2)+NORM.S.INV(B4))^2*2*Inputs!$B$3*(1-Inputs!$B$3)/(Options!D4/100)^2,0)</f>
        <v/>
      </c>
      <c r="C6" s="2" t="inlineStr">
        <is>
          <t>Same approximation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2026-10-19T21:05:27Z</dcterms:created>
  <dcterms:modified xsi:type="dcterms:W3CDTF">2026-10-19T21:05:27Z</dcterms:modified>
</cp:coreProperties>
</file>